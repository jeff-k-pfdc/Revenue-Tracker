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<sst xmlns="http://schemas.openxmlformats.org/spreadsheetml/2006/main" count="197" uniqueCount="104">
  <si>
    <t>Explanations</t>
  </si>
  <si>
    <t>Legend</t>
  </si>
  <si>
    <t>Open Loop Contract Information (Customer Pricing, Openloop Cost, and Net Profits)</t>
  </si>
  <si>
    <t>Inputs</t>
  </si>
  <si>
    <t>Contract Info</t>
  </si>
  <si>
    <t>Price</t>
  </si>
  <si>
    <t>Our Current Pricing and Revenue (Price - OL cost)</t>
  </si>
  <si>
    <t>Monthly Costs</t>
  </si>
  <si>
    <t>Stripe Product Data</t>
  </si>
  <si>
    <t>Price Analysis</t>
  </si>
  <si>
    <t>Monthly fixed costs</t>
  </si>
  <si>
    <t>Break Even</t>
  </si>
  <si>
    <t>Weighted Math</t>
  </si>
  <si>
    <t>Final Breakeven</t>
  </si>
  <si>
    <t>Customer Purchase Data pulled from Revenue Tracking spreadsheet</t>
  </si>
  <si>
    <t>Tool to Calculate Profitability of Individual products (Price - all fee's)</t>
  </si>
  <si>
    <t>Break Even assuming only 1 product is sold. Cheapest = Sema Oral, Expensive = Tirzep Inject</t>
  </si>
  <si>
    <t>Weighted Break Even, weighted using our actual data from Stripe for accurate estimation</t>
  </si>
  <si>
    <t>Realistic estimate of break-even units</t>
  </si>
  <si>
    <t xml:space="preserve"> </t>
  </si>
  <si>
    <t>Contract Info.</t>
  </si>
  <si>
    <t>Current Info.</t>
  </si>
  <si>
    <t>Calculations</t>
  </si>
  <si>
    <t>Monthly</t>
  </si>
  <si>
    <t>Pricing</t>
  </si>
  <si>
    <t>OL Cost</t>
  </si>
  <si>
    <t>Revenue</t>
  </si>
  <si>
    <t>Pricing Tool</t>
  </si>
  <si>
    <t>Net Profit</t>
  </si>
  <si>
    <t>FMD</t>
  </si>
  <si>
    <t>Regular</t>
  </si>
  <si>
    <t>FMD/Regular</t>
  </si>
  <si>
    <t>Pricing -&gt; Profit</t>
  </si>
  <si>
    <t>Profit -&gt; Pricing</t>
  </si>
  <si>
    <t>Semaglutide Oral</t>
  </si>
  <si>
    <t>Administration</t>
  </si>
  <si>
    <t>Injection</t>
  </si>
  <si>
    <t>method</t>
  </si>
  <si>
    <t>Semaglutide Injection</t>
  </si>
  <si>
    <t>Plan</t>
  </si>
  <si>
    <t>month</t>
  </si>
  <si>
    <t>Tirzepatide Oral</t>
  </si>
  <si>
    <t>Medication</t>
  </si>
  <si>
    <t>Tirzepatide</t>
  </si>
  <si>
    <t>Semaglutide</t>
  </si>
  <si>
    <t>Tirzepatide Injection</t>
  </si>
  <si>
    <t>Profit</t>
  </si>
  <si>
    <t>General Price</t>
  </si>
  <si>
    <t>3 Month</t>
  </si>
  <si>
    <t>General Fee</t>
  </si>
  <si>
    <t>General Profit</t>
  </si>
  <si>
    <t>Break-Even</t>
  </si>
  <si>
    <t>With FMD</t>
  </si>
  <si>
    <t xml:space="preserve">            </t>
  </si>
  <si>
    <t>Specific</t>
  </si>
  <si>
    <t>Per Month</t>
  </si>
  <si>
    <t>Per Day</t>
  </si>
  <si>
    <t>6 Month</t>
  </si>
  <si>
    <t>Cheapest</t>
  </si>
  <si>
    <t>Most Expensive</t>
  </si>
  <si>
    <t>3 Months</t>
  </si>
  <si>
    <t>6 Months</t>
  </si>
  <si>
    <t>No FMD</t>
  </si>
  <si>
    <t>Costs:</t>
  </si>
  <si>
    <t>Drip</t>
  </si>
  <si>
    <t>OL Monthly</t>
  </si>
  <si>
    <t>Meta Ad Spend</t>
  </si>
  <si>
    <t>Weighted B-E</t>
  </si>
  <si>
    <t>Tellescope</t>
  </si>
  <si>
    <t>Statistics</t>
  </si>
  <si>
    <t>Zendesk</t>
  </si>
  <si>
    <t>Salaries + lease</t>
  </si>
  <si>
    <t>Tirzeptide</t>
  </si>
  <si>
    <t>Creatives</t>
  </si>
  <si>
    <t>Inject Sales</t>
  </si>
  <si>
    <t>Customerio</t>
  </si>
  <si>
    <t>Oral Sales</t>
  </si>
  <si>
    <t>Oral</t>
  </si>
  <si>
    <t>Everflow</t>
  </si>
  <si>
    <t>1 Month</t>
  </si>
  <si>
    <t>Embeddables</t>
  </si>
  <si>
    <t>Total</t>
  </si>
  <si>
    <t>Total Sales</t>
  </si>
  <si>
    <t>INPUT</t>
  </si>
  <si>
    <t>Product Frequency</t>
  </si>
  <si>
    <t>Current Statistic</t>
  </si>
  <si>
    <t>Sema | 1 | Inj.</t>
  </si>
  <si>
    <t>Tirz | 1 | Inj.</t>
  </si>
  <si>
    <t>Sema | 3 | Inj.</t>
  </si>
  <si>
    <t>Tirz | 3 | Inj.</t>
  </si>
  <si>
    <t>Product</t>
  </si>
  <si>
    <t>Sema | 6 | Inj.</t>
  </si>
  <si>
    <t>Tirz | 6 | Inj.</t>
  </si>
  <si>
    <t>Breakdown</t>
  </si>
  <si>
    <t>Sema | 1 | Oral</t>
  </si>
  <si>
    <t>Tirz | 1 | Oral</t>
  </si>
  <si>
    <t>Sema | 3 | Oral</t>
  </si>
  <si>
    <t>Tirz | 3 | Oral</t>
  </si>
  <si>
    <t>Sema | 6 | Oral</t>
  </si>
  <si>
    <t>Tirz | 6 | Oral</t>
  </si>
  <si>
    <t>Units / Month</t>
  </si>
  <si>
    <t>Units / Day</t>
  </si>
  <si>
    <t xml:space="preserve">e 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</si>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</sst>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sz val="11.0"/>
      <color rgb="FF000000"/>
      <name val="&quot;Aptos Narrow&quot;"/>
    </font>
    <font>
      <b/>
      <sz val="15.0"/>
      <color theme="1"/>
      <name val="Arial"/>
    </font>
    <font>
      <b/>
      <color theme="1"/>
      <name val="Arial"/>
    </font>
    <font>
      <sz val="11.0"/>
      <color rgb="FF000000"/>
      <name val="&quot;Aptos Narrow&quot;"/>
    </font>
    <font>
      <color rgb="FF000000"/>
      <name val="Arial"/>
      <scheme val="minor"/>
    </font>
    <font>
      <sz val="11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5" fillId="0" fontId="1" numFmtId="0" xfId="0" applyBorder="1" applyFont="1"/>
    <xf borderId="1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2" fontId="1" numFmtId="0" xfId="0" applyBorder="1" applyFill="1" applyFont="1"/>
    <xf borderId="1" fillId="3" fontId="1" numFmtId="0" xfId="0" applyBorder="1" applyFill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4" fillId="4" fontId="1" numFmtId="0" xfId="0" applyBorder="1" applyFill="1" applyFont="1"/>
    <xf borderId="4" fillId="5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4" fillId="6" fontId="2" numFmtId="0" xfId="0" applyAlignment="1" applyBorder="1" applyFill="1" applyFont="1">
      <alignment readingOrder="0"/>
    </xf>
    <xf borderId="4" fillId="7" fontId="2" numFmtId="0" xfId="0" applyAlignment="1" applyBorder="1" applyFill="1" applyFont="1">
      <alignment readingOrder="0"/>
    </xf>
    <xf borderId="4" fillId="8" fontId="1" numFmtId="0" xfId="0" applyBorder="1" applyFill="1" applyFont="1"/>
    <xf borderId="4" fillId="9" fontId="1" numFmtId="0" xfId="0" applyBorder="1" applyFill="1" applyFont="1"/>
    <xf borderId="8" fillId="10" fontId="1" numFmtId="0" xfId="0" applyBorder="1" applyFill="1" applyFont="1"/>
    <xf borderId="9" fillId="0" fontId="1" numFmtId="0" xfId="0" applyAlignment="1" applyBorder="1" applyFont="1">
      <alignment readingOrder="0"/>
    </xf>
    <xf borderId="0" fillId="6" fontId="1" numFmtId="0" xfId="0" applyFon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10" fillId="0" fontId="1" numFmtId="0" xfId="0" applyBorder="1" applyFont="1"/>
    <xf borderId="0" fillId="10" fontId="1" numFmtId="0" xfId="0" applyFont="1"/>
    <xf borderId="11" fillId="0" fontId="1" numFmtId="0" xfId="0" applyBorder="1" applyFont="1"/>
    <xf borderId="8" fillId="0" fontId="1" numFmtId="0" xfId="0" applyBorder="1" applyFont="1"/>
    <xf borderId="12" fillId="0" fontId="1" numFmtId="0" xfId="0" applyBorder="1" applyFont="1"/>
    <xf borderId="12" fillId="0" fontId="5" numFmtId="0" xfId="0" applyAlignment="1" applyBorder="1" applyFont="1">
      <alignment readingOrder="0" shrinkToFit="0" vertical="bottom" wrapText="0"/>
    </xf>
    <xf borderId="12" fillId="0" fontId="5" numFmtId="0" xfId="0" applyAlignment="1" applyBorder="1" applyFont="1">
      <alignment shrinkToFit="0" vertical="bottom" wrapText="0"/>
    </xf>
    <xf borderId="13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1" numFmtId="0" xfId="0" applyBorder="1" applyFont="1"/>
    <xf borderId="15" fillId="0" fontId="1" numFmtId="0" xfId="0" applyBorder="1" applyFont="1"/>
    <xf borderId="0" fillId="0" fontId="5" numFmtId="0" xfId="0" applyAlignment="1" applyFont="1">
      <alignment readingOrder="0" shrinkToFit="0" vertical="bottom" wrapText="0"/>
    </xf>
    <xf borderId="16" fillId="0" fontId="5" numFmtId="0" xfId="0" applyAlignment="1" applyBorder="1" applyFont="1">
      <alignment readingOrder="0" shrinkToFit="0" vertical="bottom" wrapText="0"/>
    </xf>
    <xf borderId="17" fillId="0" fontId="5" numFmtId="0" xfId="0" applyAlignment="1" applyBorder="1" applyFont="1">
      <alignment readingOrder="0" shrinkToFit="0" vertical="bottom" wrapText="0"/>
    </xf>
    <xf borderId="17" fillId="0" fontId="1" numFmtId="0" xfId="0" applyBorder="1" applyFont="1"/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2" fontId="2" numFmtId="0" xfId="0" applyAlignment="1" applyFont="1">
      <alignment readingOrder="0"/>
    </xf>
    <xf borderId="0" fillId="4" fontId="7" numFmtId="0" xfId="0" applyAlignment="1" applyFont="1">
      <alignment readingOrder="0" vertical="bottom"/>
    </xf>
    <xf borderId="18" fillId="4" fontId="1" numFmtId="0" xfId="0" applyAlignment="1" applyBorder="1" applyFont="1">
      <alignment readingOrder="0"/>
    </xf>
    <xf borderId="19" fillId="4" fontId="1" numFmtId="0" xfId="0" applyAlignment="1" applyBorder="1" applyFont="1">
      <alignment readingOrder="0"/>
    </xf>
    <xf borderId="20" fillId="0" fontId="3" numFmtId="0" xfId="0" applyBorder="1" applyFont="1"/>
    <xf borderId="18" fillId="11" fontId="2" numFmtId="0" xfId="0" applyAlignment="1" applyBorder="1" applyFill="1" applyFont="1">
      <alignment readingOrder="0"/>
    </xf>
    <xf borderId="0" fillId="2" fontId="1" numFmtId="0" xfId="0" applyFont="1"/>
    <xf borderId="6" fillId="2" fontId="1" numFmtId="0" xfId="0" applyAlignment="1" applyBorder="1" applyFont="1">
      <alignment readingOrder="0"/>
    </xf>
    <xf borderId="0" fillId="4" fontId="1" numFmtId="0" xfId="0" applyFont="1"/>
    <xf borderId="6" fillId="4" fontId="1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0" fillId="2" fontId="1" numFmtId="0" xfId="0" applyAlignment="1" applyFont="1">
      <alignment readingOrder="0"/>
    </xf>
    <xf borderId="7" fillId="12" fontId="1" numFmtId="0" xfId="0" applyAlignment="1" applyBorder="1" applyFill="1" applyFont="1">
      <alignment readingOrder="0"/>
    </xf>
    <xf borderId="7" fillId="12" fontId="1" numFmtId="0" xfId="0" applyBorder="1" applyFont="1"/>
    <xf borderId="0" fillId="4" fontId="1" numFmtId="0" xfId="0" applyAlignment="1" applyFont="1">
      <alignment readingOrder="0"/>
    </xf>
    <xf borderId="7" fillId="3" fontId="1" numFmtId="0" xfId="0" applyAlignment="1" applyBorder="1" applyFont="1">
      <alignment readingOrder="0"/>
    </xf>
    <xf borderId="7" fillId="13" fontId="1" numFmtId="0" xfId="0" applyAlignment="1" applyBorder="1" applyFill="1" applyFont="1">
      <alignment readingOrder="0"/>
    </xf>
    <xf borderId="7" fillId="13" fontId="1" numFmtId="0" xfId="0" applyBorder="1" applyFont="1"/>
    <xf borderId="0" fillId="7" fontId="1" numFmtId="0" xfId="0" applyAlignment="1" applyFont="1">
      <alignment readingOrder="0"/>
    </xf>
    <xf borderId="6" fillId="3" fontId="1" numFmtId="0" xfId="0" applyAlignment="1" applyBorder="1" applyFont="1">
      <alignment horizontal="right" readingOrder="0"/>
    </xf>
    <xf borderId="7" fillId="3" fontId="1" numFmtId="0" xfId="0" applyAlignment="1" applyBorder="1" applyFont="1">
      <alignment horizontal="right" readingOrder="0"/>
    </xf>
    <xf borderId="9" fillId="3" fontId="1" numFmtId="0" xfId="0" applyAlignment="1" applyBorder="1" applyFont="1">
      <alignment readingOrder="0"/>
    </xf>
    <xf borderId="9" fillId="12" fontId="1" numFmtId="0" xfId="0" applyAlignment="1" applyBorder="1" applyFont="1">
      <alignment readingOrder="0"/>
    </xf>
    <xf borderId="9" fillId="12" fontId="1" numFmtId="0" xfId="0" applyBorder="1" applyFont="1"/>
    <xf borderId="9" fillId="13" fontId="1" numFmtId="0" xfId="0" applyAlignment="1" applyBorder="1" applyFont="1">
      <alignment readingOrder="0"/>
    </xf>
    <xf borderId="9" fillId="13" fontId="1" numFmtId="0" xfId="0" applyBorder="1" applyFont="1"/>
    <xf borderId="9" fillId="3" fontId="1" numFmtId="0" xfId="0" applyAlignment="1" applyBorder="1" applyFont="1">
      <alignment horizontal="right" readingOrder="0"/>
    </xf>
    <xf borderId="6" fillId="14" fontId="1" numFmtId="0" xfId="0" applyBorder="1" applyFill="1" applyFont="1"/>
    <xf borderId="0" fillId="4" fontId="7" numFmtId="0" xfId="0" applyAlignment="1" applyFont="1">
      <alignment vertical="bottom"/>
    </xf>
    <xf borderId="7" fillId="14" fontId="1" numFmtId="0" xfId="0" applyBorder="1" applyFont="1"/>
    <xf borderId="9" fillId="14" fontId="1" numFmtId="0" xfId="0" applyBorder="1" applyFont="1"/>
    <xf borderId="18" fillId="15" fontId="1" numFmtId="0" xfId="0" applyBorder="1" applyFill="1" applyFont="1"/>
    <xf borderId="0" fillId="8" fontId="2" numFmtId="0" xfId="0" applyAlignment="1" applyFont="1">
      <alignment readingOrder="0"/>
    </xf>
    <xf borderId="0" fillId="8" fontId="1" numFmtId="0" xfId="0" applyFont="1"/>
    <xf borderId="18" fillId="8" fontId="1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3" fillId="8" fontId="1" numFmtId="0" xfId="0" applyAlignment="1" applyBorder="1" applyFont="1">
      <alignment readingOrder="0"/>
    </xf>
    <xf borderId="6" fillId="8" fontId="1" numFmtId="0" xfId="0" applyAlignment="1" applyBorder="1" applyFont="1">
      <alignment readingOrder="0"/>
    </xf>
    <xf borderId="0" fillId="8" fontId="1" numFmtId="0" xfId="0" applyAlignment="1" applyFont="1">
      <alignment readingOrder="0"/>
    </xf>
    <xf borderId="4" fillId="16" fontId="1" numFmtId="2" xfId="0" applyBorder="1" applyFill="1" applyFont="1" applyNumberFormat="1"/>
    <xf borderId="5" fillId="16" fontId="1" numFmtId="2" xfId="0" applyBorder="1" applyFont="1" applyNumberFormat="1"/>
    <xf borderId="8" fillId="16" fontId="1" numFmtId="2" xfId="0" applyBorder="1" applyFont="1" applyNumberFormat="1"/>
    <xf borderId="9" fillId="16" fontId="1" numFmtId="2" xfId="0" applyBorder="1" applyFont="1" applyNumberFormat="1"/>
    <xf borderId="0" fillId="0" fontId="1" numFmtId="2" xfId="0" applyFont="1" applyNumberFormat="1"/>
    <xf borderId="15" fillId="16" fontId="1" numFmtId="2" xfId="0" applyBorder="1" applyFont="1" applyNumberFormat="1"/>
    <xf borderId="0" fillId="5" fontId="2" numFmtId="0" xfId="0" applyAlignment="1" applyFont="1">
      <alignment readingOrder="0"/>
    </xf>
    <xf borderId="2" fillId="8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6" fillId="3" fontId="1" numFmtId="0" xfId="0" applyAlignment="1" applyBorder="1" applyFont="1">
      <alignment readingOrder="0"/>
    </xf>
    <xf borderId="12" fillId="16" fontId="1" numFmtId="2" xfId="0" applyBorder="1" applyFont="1" applyNumberFormat="1"/>
    <xf borderId="0" fillId="9" fontId="2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11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horizontal="right" readingOrder="0" shrinkToFit="0" vertical="bottom" wrapText="0"/>
    </xf>
    <xf borderId="6" fillId="9" fontId="1" numFmtId="0" xfId="0" applyBorder="1" applyFont="1"/>
    <xf borderId="6" fillId="17" fontId="1" numFmtId="0" xfId="0" applyBorder="1" applyFill="1" applyFont="1"/>
    <xf borderId="6" fillId="17" fontId="1" numFmtId="10" xfId="0" applyBorder="1" applyFont="1" applyNumberFormat="1"/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horizontal="right" readingOrder="0" shrinkToFit="0" vertical="bottom" wrapText="0"/>
    </xf>
    <xf borderId="7" fillId="9" fontId="1" numFmtId="0" xfId="0" applyBorder="1" applyFont="1"/>
    <xf borderId="7" fillId="17" fontId="1" numFmtId="0" xfId="0" applyBorder="1" applyFont="1"/>
    <xf borderId="7" fillId="17" fontId="1" numFmtId="10" xfId="0" applyBorder="1" applyFont="1" applyNumberFormat="1"/>
    <xf borderId="4" fillId="17" fontId="1" numFmtId="0" xfId="0" applyBorder="1" applyFont="1"/>
    <xf borderId="5" fillId="17" fontId="1" numFmtId="10" xfId="0" applyBorder="1" applyFont="1" applyNumberFormat="1"/>
    <xf borderId="0" fillId="5" fontId="9" numFmtId="0" xfId="0" applyAlignment="1" applyFont="1">
      <alignment readingOrder="0"/>
    </xf>
    <xf borderId="11" fillId="0" fontId="5" numFmtId="0" xfId="0" applyAlignment="1" applyBorder="1" applyFont="1">
      <alignment horizontal="right" readingOrder="0" shrinkToFit="0" vertical="bottom" wrapText="0"/>
    </xf>
    <xf borderId="9" fillId="18" fontId="1" numFmtId="0" xfId="0" applyBorder="1" applyFill="1" applyFont="1"/>
    <xf borderId="9" fillId="9" fontId="1" numFmtId="0" xfId="0" applyBorder="1" applyFont="1"/>
    <xf borderId="9" fillId="17" fontId="1" numFmtId="0" xfId="0" applyBorder="1" applyFont="1"/>
    <xf borderId="9" fillId="17" fontId="1" numFmtId="9" xfId="0" applyBorder="1" applyFont="1" applyNumberFormat="1"/>
    <xf borderId="9" fillId="9" fontId="1" numFmtId="0" xfId="0" applyAlignment="1" applyBorder="1" applyFont="1">
      <alignment readingOrder="0"/>
    </xf>
    <xf borderId="9" fillId="17" fontId="1" numFmtId="0" xfId="0" applyAlignment="1" applyBorder="1" applyFont="1">
      <alignment readingOrder="0"/>
    </xf>
    <xf borderId="0" fillId="0" fontId="1" numFmtId="10" xfId="0" applyFont="1" applyNumberFormat="1"/>
    <xf borderId="18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6" fillId="9" fontId="1" numFmtId="0" xfId="0" applyAlignment="1" applyBorder="1" applyFont="1">
      <alignment readingOrder="0"/>
    </xf>
    <xf borderId="6" fillId="17" fontId="1" numFmtId="9" xfId="0" applyBorder="1" applyFont="1" applyNumberFormat="1"/>
    <xf borderId="6" fillId="17" fontId="1" numFmtId="9" xfId="0" applyAlignment="1" applyBorder="1" applyFont="1" applyNumberFormat="1">
      <alignment readingOrder="0"/>
    </xf>
    <xf borderId="4" fillId="6" fontId="8" numFmtId="0" xfId="0" applyAlignment="1" applyBorder="1" applyFont="1">
      <alignment shrinkToFit="0" vertical="bottom" wrapText="0"/>
    </xf>
    <xf borderId="0" fillId="6" fontId="8" numFmtId="0" xfId="0" applyAlignment="1" applyFont="1">
      <alignment readingOrder="0" shrinkToFit="0" vertical="bottom" wrapText="0"/>
    </xf>
    <xf borderId="5" fillId="0" fontId="8" numFmtId="0" xfId="0" applyAlignment="1" applyBorder="1" applyFont="1">
      <alignment shrinkToFit="0" vertical="bottom" wrapText="0"/>
    </xf>
    <xf borderId="7" fillId="9" fontId="1" numFmtId="0" xfId="0" applyAlignment="1" applyBorder="1" applyFont="1">
      <alignment readingOrder="0"/>
    </xf>
    <xf borderId="7" fillId="17" fontId="1" numFmtId="9" xfId="0" applyBorder="1" applyFont="1" applyNumberFormat="1"/>
    <xf borderId="4" fillId="6" fontId="8" numFmtId="0" xfId="0" applyAlignment="1" applyBorder="1" applyFont="1">
      <alignment readingOrder="0" shrinkToFit="0" vertical="bottom" wrapText="0"/>
    </xf>
    <xf borderId="19" fillId="3" fontId="8" numFmtId="0" xfId="0" applyAlignment="1" applyBorder="1" applyFont="1">
      <alignment horizontal="right" readingOrder="0" shrinkToFit="0" vertical="bottom" wrapText="0"/>
    </xf>
    <xf borderId="20" fillId="3" fontId="8" numFmtId="0" xfId="0" applyAlignment="1" applyBorder="1" applyFont="1">
      <alignment horizontal="right" readingOrder="0" shrinkToFit="0" vertical="bottom" wrapText="0"/>
    </xf>
    <xf borderId="0" fillId="19" fontId="8" numFmtId="0" xfId="0" applyAlignment="1" applyFill="1" applyFont="1">
      <alignment horizontal="right" readingOrder="0" shrinkToFit="0" vertical="bottom" wrapText="0"/>
    </xf>
    <xf borderId="0" fillId="19" fontId="10" numFmtId="9" xfId="0" applyAlignment="1" applyFont="1" applyNumberFormat="1">
      <alignment horizontal="right" readingOrder="0" shrinkToFit="0" vertical="bottom" wrapText="0"/>
    </xf>
    <xf borderId="0" fillId="19" fontId="8" numFmtId="0" xfId="0" applyAlignment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19" fillId="3" fontId="10" numFmtId="0" xfId="0" applyAlignment="1" applyBorder="1" applyFont="1">
      <alignment horizontal="right" readingOrder="0" shrinkToFit="0" vertical="bottom" wrapText="0"/>
    </xf>
    <xf borderId="0" fillId="19" fontId="8" numFmtId="9" xfId="0" applyAlignment="1" applyFont="1" applyNumberFormat="1">
      <alignment horizontal="right" readingOrder="0" shrinkToFit="0" vertical="bottom" wrapText="0"/>
    </xf>
    <xf borderId="0" fillId="9" fontId="1" numFmtId="0" xfId="0" applyFont="1"/>
    <xf borderId="0" fillId="9" fontId="1" numFmtId="0" xfId="0" applyAlignment="1" applyFont="1">
      <alignment readingOrder="0"/>
    </xf>
    <xf borderId="7" fillId="10" fontId="1" numFmtId="0" xfId="0" applyBorder="1" applyFont="1"/>
    <xf borderId="9" fillId="10" fontId="1" numFmtId="0" xfId="0" applyBorder="1" applyFont="1"/>
    <xf borderId="0" fillId="6" fontId="10" numFmtId="0" xfId="0" applyAlignment="1" applyFont="1">
      <alignment readingOrder="0" shrinkToFit="0" vertical="bottom" wrapText="0"/>
    </xf>
    <xf borderId="5" fillId="6" fontId="8" numFmtId="0" xfId="0" applyAlignment="1" applyBorder="1" applyFont="1">
      <alignment readingOrder="0" shrinkToFit="0" vertical="bottom" wrapText="0"/>
    </xf>
    <xf borderId="21" fillId="3" fontId="10" numFmtId="0" xfId="0" applyAlignment="1" applyBorder="1" applyFont="1">
      <alignment horizontal="right" readingOrder="0" shrinkToFit="0" vertical="bottom" wrapText="0"/>
    </xf>
    <xf borderId="20" fillId="3" fontId="10" numFmtId="0" xfId="0" applyAlignment="1" applyBorder="1" applyFont="1">
      <alignment horizontal="right" readingOrder="0" shrinkToFit="0" vertical="bottom" wrapText="0"/>
    </xf>
    <xf borderId="5" fillId="19" fontId="8" numFmtId="0" xfId="0" applyAlignment="1" applyBorder="1" applyFont="1">
      <alignment horizontal="right" readingOrder="0" shrinkToFit="0" vertical="bottom" wrapText="0"/>
    </xf>
    <xf borderId="8" fillId="6" fontId="8" numFmtId="0" xfId="0" applyAlignment="1" applyBorder="1" applyFont="1">
      <alignment readingOrder="0" shrinkToFit="0" vertical="bottom" wrapText="0"/>
    </xf>
    <xf borderId="12" fillId="19" fontId="8" numFmtId="9" xfId="0" applyAlignment="1" applyBorder="1" applyFont="1" applyNumberFormat="1">
      <alignment horizontal="right" readingOrder="0" shrinkToFit="0" vertical="bottom" wrapText="0"/>
    </xf>
    <xf borderId="15" fillId="19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3.0"/>
    <col customWidth="1" min="3" max="3" width="15.75"/>
    <col customWidth="1" min="4" max="4" width="8.0"/>
    <col customWidth="1" min="5" max="5" width="14.88"/>
    <col customWidth="1" min="6" max="6" width="17.0"/>
    <col customWidth="1" min="7" max="7" width="12.13"/>
    <col customWidth="1" min="8" max="8" width="11.5"/>
    <col customWidth="1" min="9" max="9" width="11.0"/>
    <col customWidth="1" min="10" max="10" width="8.75"/>
    <col customWidth="1" min="11" max="11" width="6.88"/>
    <col customWidth="1" min="12" max="12" width="19.13"/>
    <col customWidth="1" min="13" max="13" width="16.25"/>
    <col customWidth="1" min="14" max="14" width="13.5"/>
    <col customWidth="1" min="16" max="16" width="16.5"/>
    <col customWidth="1" min="17" max="17" width="13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E2" s="5" t="s">
        <v>0</v>
      </c>
      <c r="L2" s="6"/>
    </row>
    <row r="3">
      <c r="A3" s="4"/>
      <c r="L3" s="6"/>
    </row>
    <row r="4">
      <c r="A4" s="4"/>
      <c r="B4" s="7" t="s">
        <v>1</v>
      </c>
      <c r="C4" s="8"/>
      <c r="E4" s="9"/>
      <c r="F4" s="5" t="s">
        <v>2</v>
      </c>
      <c r="L4" s="6"/>
    </row>
    <row r="5">
      <c r="A5" s="4"/>
      <c r="B5" s="10"/>
      <c r="C5" s="11" t="s">
        <v>3</v>
      </c>
      <c r="L5" s="6"/>
    </row>
    <row r="6">
      <c r="A6" s="4"/>
      <c r="B6" s="9"/>
      <c r="C6" s="12" t="s">
        <v>4</v>
      </c>
      <c r="L6" s="6"/>
    </row>
    <row r="7">
      <c r="A7" s="4"/>
      <c r="B7" s="13"/>
      <c r="C7" s="12" t="s">
        <v>5</v>
      </c>
      <c r="E7" s="13"/>
      <c r="F7" s="5" t="s">
        <v>6</v>
      </c>
      <c r="L7" s="6"/>
    </row>
    <row r="8">
      <c r="A8" s="4"/>
      <c r="B8" s="14"/>
      <c r="C8" s="12" t="s">
        <v>7</v>
      </c>
      <c r="E8" s="15"/>
      <c r="L8" s="6"/>
    </row>
    <row r="9">
      <c r="A9" s="4"/>
      <c r="B9" s="16"/>
      <c r="C9" s="12" t="s">
        <v>8</v>
      </c>
      <c r="E9" s="15"/>
      <c r="L9" s="6"/>
    </row>
    <row r="10">
      <c r="A10" s="4"/>
      <c r="B10" s="17"/>
      <c r="C10" s="12" t="s">
        <v>9</v>
      </c>
      <c r="E10" s="14"/>
      <c r="F10" s="5" t="s">
        <v>10</v>
      </c>
      <c r="L10" s="6"/>
    </row>
    <row r="11">
      <c r="A11" s="4"/>
      <c r="B11" s="18"/>
      <c r="C11" s="12" t="s">
        <v>11</v>
      </c>
      <c r="L11" s="6"/>
    </row>
    <row r="12">
      <c r="A12" s="4"/>
      <c r="B12" s="19"/>
      <c r="C12" s="12" t="s">
        <v>12</v>
      </c>
      <c r="L12" s="6"/>
    </row>
    <row r="13">
      <c r="A13" s="4"/>
      <c r="B13" s="20"/>
      <c r="C13" s="21" t="s">
        <v>13</v>
      </c>
      <c r="E13" s="22"/>
      <c r="F13" s="5" t="s">
        <v>14</v>
      </c>
      <c r="L13" s="6"/>
    </row>
    <row r="14">
      <c r="A14" s="4"/>
      <c r="L14" s="6"/>
    </row>
    <row r="15">
      <c r="A15" s="4"/>
      <c r="L15" s="6"/>
    </row>
    <row r="16">
      <c r="A16" s="4"/>
      <c r="E16" s="17"/>
      <c r="F16" s="5" t="s">
        <v>15</v>
      </c>
      <c r="L16" s="6"/>
    </row>
    <row r="17">
      <c r="A17" s="4"/>
      <c r="L17" s="6"/>
    </row>
    <row r="18">
      <c r="A18" s="4"/>
      <c r="L18" s="6"/>
      <c r="R18" s="23"/>
      <c r="U18" s="24"/>
      <c r="X18" s="24"/>
    </row>
    <row r="19">
      <c r="A19" s="4"/>
      <c r="E19" s="18"/>
      <c r="F19" s="5" t="s">
        <v>16</v>
      </c>
      <c r="L19" s="6"/>
      <c r="U19" s="25"/>
      <c r="V19" s="26"/>
      <c r="X19" s="25"/>
      <c r="Y19" s="26"/>
    </row>
    <row r="20">
      <c r="A20" s="4"/>
      <c r="L20" s="6"/>
      <c r="U20" s="25"/>
      <c r="V20" s="26"/>
      <c r="X20" s="25"/>
      <c r="Y20" s="26"/>
    </row>
    <row r="21">
      <c r="A21" s="4"/>
      <c r="L21" s="6"/>
      <c r="U21" s="25"/>
      <c r="V21" s="26"/>
      <c r="X21" s="25"/>
      <c r="Y21" s="26"/>
    </row>
    <row r="22">
      <c r="A22" s="4"/>
      <c r="E22" s="19"/>
      <c r="F22" s="5" t="s">
        <v>17</v>
      </c>
      <c r="L22" s="6"/>
    </row>
    <row r="23">
      <c r="A23" s="4"/>
      <c r="L23" s="6"/>
      <c r="X23" s="27"/>
    </row>
    <row r="24">
      <c r="A24" s="4"/>
      <c r="L24" s="6"/>
      <c r="X24" s="25"/>
      <c r="Y24" s="28"/>
      <c r="AA24" s="29"/>
    </row>
    <row r="25">
      <c r="A25" s="4"/>
      <c r="E25" s="30"/>
      <c r="F25" s="5" t="s">
        <v>18</v>
      </c>
      <c r="I25" s="31"/>
      <c r="J25" s="29"/>
      <c r="K25" s="29"/>
      <c r="L25" s="6"/>
      <c r="X25" s="25"/>
      <c r="Y25" s="28"/>
      <c r="AA25" s="29"/>
    </row>
    <row r="26">
      <c r="A26" s="32"/>
      <c r="B26" s="33"/>
      <c r="C26" s="33"/>
      <c r="D26" s="33"/>
      <c r="E26" s="33"/>
      <c r="F26" s="34"/>
      <c r="G26" s="34"/>
      <c r="H26" s="35"/>
      <c r="I26" s="36"/>
      <c r="J26" s="37"/>
      <c r="K26" s="38"/>
      <c r="L26" s="39"/>
      <c r="X26" s="25"/>
      <c r="Y26" s="26"/>
      <c r="AA26" s="29"/>
    </row>
    <row r="27">
      <c r="G27" s="40"/>
      <c r="H27" s="40"/>
      <c r="I27" s="41"/>
      <c r="J27" s="42"/>
      <c r="K27" s="43"/>
      <c r="AA27" s="29"/>
    </row>
    <row r="28">
      <c r="X28" s="24"/>
      <c r="AA28" s="29"/>
    </row>
    <row r="29">
      <c r="X29" s="25"/>
      <c r="Y29" s="26"/>
      <c r="AA29" s="29"/>
    </row>
    <row r="30">
      <c r="X30" s="25"/>
      <c r="Y30" s="26"/>
      <c r="AA30" s="29"/>
    </row>
    <row r="31">
      <c r="X31" s="25"/>
      <c r="Y31" s="26"/>
      <c r="AA31" s="29"/>
    </row>
    <row r="32">
      <c r="N32" s="5" t="s">
        <v>19</v>
      </c>
      <c r="AA32" s="29"/>
    </row>
    <row r="33">
      <c r="AA33" s="29"/>
    </row>
    <row r="34">
      <c r="AA34" s="29"/>
    </row>
    <row r="35">
      <c r="A35" s="44" t="s">
        <v>20</v>
      </c>
      <c r="F35" s="44" t="s">
        <v>21</v>
      </c>
      <c r="M35" s="44" t="s">
        <v>22</v>
      </c>
      <c r="Q35" s="45"/>
      <c r="AA35" s="29"/>
    </row>
    <row r="36">
      <c r="A36" s="46" t="s">
        <v>23</v>
      </c>
      <c r="F36" s="47" t="s">
        <v>23</v>
      </c>
      <c r="G36" s="48" t="s">
        <v>24</v>
      </c>
      <c r="I36" s="48" t="s">
        <v>25</v>
      </c>
      <c r="J36" s="49" t="s">
        <v>26</v>
      </c>
      <c r="K36" s="50"/>
      <c r="M36" s="51" t="s">
        <v>27</v>
      </c>
      <c r="Q36" s="45"/>
      <c r="AA36" s="31"/>
    </row>
    <row r="37">
      <c r="A37" s="52"/>
      <c r="B37" s="53" t="s">
        <v>24</v>
      </c>
      <c r="C37" s="53" t="s">
        <v>25</v>
      </c>
      <c r="D37" s="53" t="s">
        <v>28</v>
      </c>
      <c r="F37" s="54"/>
      <c r="G37" s="55" t="s">
        <v>29</v>
      </c>
      <c r="H37" s="55" t="s">
        <v>30</v>
      </c>
      <c r="I37" s="55" t="s">
        <v>31</v>
      </c>
      <c r="J37" s="55" t="s">
        <v>29</v>
      </c>
      <c r="K37" s="55" t="s">
        <v>30</v>
      </c>
      <c r="M37" s="56" t="s">
        <v>32</v>
      </c>
      <c r="N37" s="45"/>
      <c r="P37" s="56" t="s">
        <v>33</v>
      </c>
      <c r="Q37" s="45"/>
      <c r="AA37" s="31"/>
    </row>
    <row r="38">
      <c r="A38" s="57" t="s">
        <v>34</v>
      </c>
      <c r="B38" s="58">
        <v>349.0</v>
      </c>
      <c r="C38" s="58">
        <v>155.8</v>
      </c>
      <c r="D38" s="59">
        <f>B38-C38</f>
        <v>193.2</v>
      </c>
      <c r="F38" s="60" t="s">
        <v>34</v>
      </c>
      <c r="G38" s="61">
        <v>139.0</v>
      </c>
      <c r="H38" s="61">
        <v>209.0</v>
      </c>
      <c r="I38" s="62">
        <f t="shared" ref="I38:I41" si="1">(G38-B38)*0.04+C38</f>
        <v>147.4</v>
      </c>
      <c r="J38" s="63">
        <f t="shared" ref="J38:J41" si="2">G38-C38 + (B38-G38)*0.04</f>
        <v>-8.4</v>
      </c>
      <c r="K38" s="63">
        <f t="shared" ref="K38:K41" si="3">H38-C38 + (B38-H38)*0.04</f>
        <v>58.8</v>
      </c>
      <c r="M38" s="64" t="s">
        <v>35</v>
      </c>
      <c r="N38" s="65" t="s">
        <v>36</v>
      </c>
      <c r="P38" s="64" t="s">
        <v>37</v>
      </c>
      <c r="Q38" s="65" t="s">
        <v>36</v>
      </c>
      <c r="AA38" s="31"/>
    </row>
    <row r="39">
      <c r="A39" s="57" t="s">
        <v>38</v>
      </c>
      <c r="B39" s="58">
        <v>349.0</v>
      </c>
      <c r="C39" s="59">
        <f t="shared" ref="C39:C41" si="4">B39-D39</f>
        <v>123</v>
      </c>
      <c r="D39" s="58">
        <v>226.0</v>
      </c>
      <c r="F39" s="60" t="s">
        <v>38</v>
      </c>
      <c r="G39" s="61">
        <v>139.0</v>
      </c>
      <c r="H39" s="61">
        <v>179.0</v>
      </c>
      <c r="I39" s="62">
        <f t="shared" si="1"/>
        <v>114.6</v>
      </c>
      <c r="J39" s="63">
        <f t="shared" si="2"/>
        <v>24.4</v>
      </c>
      <c r="K39" s="63">
        <f t="shared" si="3"/>
        <v>62.8</v>
      </c>
      <c r="M39" s="64" t="s">
        <v>39</v>
      </c>
      <c r="N39" s="66">
        <v>6.0</v>
      </c>
      <c r="P39" s="64" t="s">
        <v>40</v>
      </c>
      <c r="Q39" s="66">
        <v>1.0</v>
      </c>
    </row>
    <row r="40">
      <c r="A40" s="57" t="s">
        <v>41</v>
      </c>
      <c r="B40" s="58">
        <v>399.0</v>
      </c>
      <c r="C40" s="59">
        <f t="shared" si="4"/>
        <v>168.4</v>
      </c>
      <c r="D40" s="58">
        <v>230.6</v>
      </c>
      <c r="F40" s="60" t="s">
        <v>41</v>
      </c>
      <c r="G40" s="61">
        <v>199.0</v>
      </c>
      <c r="H40" s="67">
        <v>269.0</v>
      </c>
      <c r="I40" s="62">
        <f t="shared" si="1"/>
        <v>160.4</v>
      </c>
      <c r="J40" s="63">
        <f t="shared" si="2"/>
        <v>38.6</v>
      </c>
      <c r="K40" s="63">
        <f t="shared" si="3"/>
        <v>105.8</v>
      </c>
      <c r="M40" s="64" t="s">
        <v>42</v>
      </c>
      <c r="N40" s="66" t="s">
        <v>43</v>
      </c>
      <c r="P40" s="64" t="s">
        <v>42</v>
      </c>
      <c r="Q40" s="66" t="s">
        <v>44</v>
      </c>
    </row>
    <row r="41">
      <c r="A41" s="57" t="s">
        <v>45</v>
      </c>
      <c r="B41" s="68">
        <v>399.0</v>
      </c>
      <c r="C41" s="69">
        <f t="shared" si="4"/>
        <v>155.4</v>
      </c>
      <c r="D41" s="68">
        <v>243.6</v>
      </c>
      <c r="F41" s="60" t="s">
        <v>45</v>
      </c>
      <c r="G41" s="67">
        <v>199.0</v>
      </c>
      <c r="H41" s="67">
        <v>239.0</v>
      </c>
      <c r="I41" s="70">
        <f t="shared" si="1"/>
        <v>147.4</v>
      </c>
      <c r="J41" s="71">
        <f t="shared" si="2"/>
        <v>51.6</v>
      </c>
      <c r="K41" s="71">
        <f t="shared" si="3"/>
        <v>90</v>
      </c>
      <c r="M41" s="64" t="s">
        <v>24</v>
      </c>
      <c r="N41" s="72">
        <v>1254.0</v>
      </c>
      <c r="P41" s="64" t="s">
        <v>46</v>
      </c>
      <c r="Q41" s="72">
        <v>150.0</v>
      </c>
    </row>
    <row r="42">
      <c r="M42" s="64" t="s">
        <v>47</v>
      </c>
      <c r="N42" s="73">
        <f>ifs(AND(N38= "oral", N39 = 1, N40 = "Semaglutide"), $B$38, AND(N38= "Injection", N39 = 1, N40 = "Semaglutide"), $B$39, AND(N38= "oral", N39 = 3, N40 = "Semaglutide"), $B$45,AND(N38= "Injection", N39 = 3, N40 = "Semaglutide"), $B$46, AND(N38= "oral", N39 = 6, N40 = "Semaglutide"), $B$52, AND(N38= "Injection", N39 = 6, N40 = "Semaglutide"), $B$53, AND(N38= "oral", N39 = 1, N40 = "Tirzepatide"), $B$40, AND(N38= "Injection", N39 = 1, N40 = "Tirzepatide"), $B$41, AND(N38= "oral", N39 = 3, N40 = "Tirzepatide"), $B$47, AND(N38= "Injection", N39 = 3, N40 = "Tirzepatide"), $B$48, AND(N38= "oral", N39 = 6, N40 = "Tirzepatide"), $B$54, AND(N38= "Injection", N39 = 6, N40 = "Tirzepatide"), $B$55)</f>
        <v>1974</v>
      </c>
      <c r="P42" s="64" t="s">
        <v>47</v>
      </c>
      <c r="Q42" s="73">
        <f>ifs(AND(Q38= "oral", Q39 = 1, Q40 = "Semaglutide"), $B$38, AND(Q38= "Injection", Q39 = 1, Q40 = "Semaglutide"), $B$39, AND(Q38= "oral", Q39 = 3, Q40 = "Semaglutide"), $B$45,AND(Q38= "Injection", Q39 = 3, Q40 = "Semaglutide"), $B$46, AND(Q38= "oral", Q39 = 6, Q40 = "Semaglutide"), $B$52, AND(Q38= "Injection", Q39 = 6, Q40 = "Semaglutide"), $B$53, AND(Q38= "oral", Q39 = 1, Q40 = "Tirzepatide"), $B$40, AND(Q38= "Injection", Q39 = 1, Q40 = "Tirzepatide"), $B$41, AND(Q38= "oral", Q39 = 3, Q40 = "Tirzepatide"), $B$47, AND(Q38= "Injection", Q39 = 3, Q40 = "Tirzepatide"), $B$48, AND(Q38= "oral", Q39 = 6, Q40 = "Tirzepatide"), $B$54, AND(Q38= "Injection", Q39 = 6, Q40 = "Tirzepatide"), $B$55)</f>
        <v>349</v>
      </c>
    </row>
    <row r="43">
      <c r="A43" s="46" t="s">
        <v>48</v>
      </c>
      <c r="F43" s="74" t="s">
        <v>48</v>
      </c>
      <c r="G43" s="48" t="s">
        <v>24</v>
      </c>
      <c r="H43" s="48" t="s">
        <v>25</v>
      </c>
      <c r="I43" s="48" t="s">
        <v>26</v>
      </c>
      <c r="M43" s="64" t="s">
        <v>49</v>
      </c>
      <c r="N43" s="75">
        <f>ifs(AND(N38= "oral", N39 = 1, N40 = "Semaglutide"), $C$38, AND(N38= "Injection", N39 = 1, N40 = "Semaglutide"), $C$39, AND(N38= "oral", N39 = 3, N40 = "Semaglutide"), $C$45,AND(N38= "Injection", N39 = 3, N40 = "Semaglutide"), $C$46, AND(N38= "oral", N39 = 6, N40 = "Semaglutide"), $C$52, AND(N38= "Injection", N39 = 6, N40 = "Semaglutide"), $C$53, AND(N38= "oral", N39 = 1, N40 = "Tirzepatide"), $C$40, AND(N38= "Injection", N39 = 1, N40 = "Tirzepatide"), $C$41, AND(N38= "oral", N39 = 3, N40 = "Tirzepatide"), $C$47, AND(N38= "Injection", N39 = 3, N40 = "Tirzepatide"), $C$48, AND(N38= "oral", N39 = 6, N40 = "Tirzepatide"), $C$54, AND(N38= "Injection", N39 = 6, N40 = "Tirzepatide"), $C$55)</f>
        <v>946.4</v>
      </c>
      <c r="P43" s="64" t="s">
        <v>49</v>
      </c>
      <c r="Q43" s="75">
        <f>ifs(AND(Q38= "oral", Q39 = 1, Q40 = "Semaglutide"), $C$38, AND(Q38= "Injection", Q39 = 1, Q40 = "Semaglutide"), $C$39, AND(Q38= "oral", Q39 = 3, Q40 = "Semaglutide"), $C$45,AND(Q38= "Injection", Q39 = 3, Q40 = "Semaglutide"), $C$46, AND(Q38= "oral", Q39 = 6, Q40 = "Semaglutide"), $C$52, AND(Q38= "Injection", Q39 = 6, Q40 = "Semaglutide"), $C$53, AND(Q38= "oral", Q39 = 1, Q40 = "Tirzepatide"), $C$40, AND(Q38= "Injection", Q39 = 1, Q40 = "Tirzepatide"), $C$41, AND(Q38= "oral", Q39 = 3, Q40 = "Tirzepatide"), $C$47, AND(Q38= "Injection", Q39 = 3, Q40 = "Tirzepatide"), $C$48, AND(Q38= "oral", Q39 = 6, Q40 = "Tirzepatide"), $C$54, AND(Q38= "Injection", Q39 = 6, Q40 = "Tirzepatide"), $C$55)</f>
        <v>123</v>
      </c>
    </row>
    <row r="44">
      <c r="A44" s="52"/>
      <c r="B44" s="53" t="s">
        <v>24</v>
      </c>
      <c r="C44" s="53" t="s">
        <v>25</v>
      </c>
      <c r="D44" s="53" t="s">
        <v>28</v>
      </c>
      <c r="F44" s="54"/>
      <c r="G44" s="55" t="s">
        <v>30</v>
      </c>
      <c r="H44" s="55" t="s">
        <v>30</v>
      </c>
      <c r="I44" s="55" t="s">
        <v>30</v>
      </c>
      <c r="M44" s="64" t="s">
        <v>50</v>
      </c>
      <c r="N44" s="76">
        <f>ifs(AND(N38= "oral", N39 = 1, N40 = "Semaglutide"), $D$38, AND(N38= "Injection", N39 = 1, N40 = "Semaglutide"), $D$39, AND(N38= "oral", N39 = 3, N40 = "Semaglutide"), $D$45,AND(N38= "Injection", N39 = 3, N40 = "Semaglutide"), $D$46, AND(N38= "oral", N39 = 6, N40 = "Semaglutide"), $D$52, AND(N38= "Injection", N39 = 6, N40 = "Semaglutide"), $D$53, AND(N38= "oral", N39 = 1, N40 = "Tirzepatide"), $D$40, AND(N38= "Injection", N39 = 1, N40 = "Tirzepatide"), $D$41, AND(N38= "oral", N39 = 3, N40 = "Tirzepatide"), $D$47, AND(N38= "Injection", N39 = 3, N40 = "Tirzepatide"), $D$48, AND(N38= "oral", N39 = 6, N40 = "Tirzepatide"), $D$54, AND(N38= "Injection", N39 = 6, N40 = "Tirzepatide"), $D$55)</f>
        <v>1027.6</v>
      </c>
      <c r="P44" s="64" t="s">
        <v>50</v>
      </c>
      <c r="Q44" s="76">
        <f>ifs(AND(Q38= "oral", Q39 = 1, Q40 = "Semaglutide"), $D$38, AND(Q38= "Injection", Q39 = 1, Q40 = "Semaglutide"), $D$39, AND(Q38= "oral", Q39 = 3, Q40 = "Semaglutide"), $D$45,AND(Q38= "Injection", Q39 = 3, Q40 = "Semaglutide"), $D$46, AND(Q38= "oral", Q39 = 6, Q40 = "Semaglutide"), $D$52, AND(Q38= "Injection", Q39 = 6, Q40 = "Semaglutide"), $D$53, AND(Q38= "oral", Q39 = 1, Q40 = "Tirzepatide"), $D$40, AND(Q38= "Injection", Q39 = 1, Q40 = "Tirzepatide"), $D$41, AND(Q38= "oral", Q39 = 3, Q40 = "Tirzepatide"), $D$47, AND(Q38= "Injection", Q39 = 3, Q40 = "Tirzepatide"), $D$48, AND(Q38= "oral", Q39 = 6, Q40 = "Tirzepatide"), $D$54, AND(Q38= "Injection", Q39 = 6, Q40 = "Tirzepatide"), $D$55)</f>
        <v>226</v>
      </c>
    </row>
    <row r="45">
      <c r="A45" s="57" t="s">
        <v>34</v>
      </c>
      <c r="B45" s="58">
        <v>897.0</v>
      </c>
      <c r="C45" s="59">
        <f t="shared" ref="C45:C48" si="5">B45-D45</f>
        <v>456.8</v>
      </c>
      <c r="D45" s="58">
        <v>440.2</v>
      </c>
      <c r="F45" s="60" t="s">
        <v>34</v>
      </c>
      <c r="G45" s="61">
        <v>489.0</v>
      </c>
      <c r="H45" s="63">
        <f t="shared" ref="H45:H48" si="6">(G45-B45)*0.04+C45</f>
        <v>440.48</v>
      </c>
      <c r="I45" s="63">
        <f t="shared" ref="I45:I48" si="7">G45-C45 + (B45-G45)*0.04</f>
        <v>48.52</v>
      </c>
      <c r="M45" s="64" t="s">
        <v>46</v>
      </c>
      <c r="N45" s="77">
        <f>0.96*N41-N43+0.04*N42</f>
        <v>336.4</v>
      </c>
      <c r="P45" s="64" t="s">
        <v>24</v>
      </c>
      <c r="Q45" s="77">
        <f>(Q41+Q43-0.04*Q42)/0.96</f>
        <v>269.8333333</v>
      </c>
    </row>
    <row r="46">
      <c r="A46" s="57" t="s">
        <v>38</v>
      </c>
      <c r="B46" s="58">
        <v>897.0</v>
      </c>
      <c r="C46" s="59">
        <f t="shared" si="5"/>
        <v>366.6</v>
      </c>
      <c r="D46" s="58">
        <v>530.4</v>
      </c>
      <c r="F46" s="60" t="s">
        <v>38</v>
      </c>
      <c r="G46" s="61">
        <v>399.0</v>
      </c>
      <c r="H46" s="63">
        <f t="shared" si="6"/>
        <v>346.68</v>
      </c>
      <c r="I46" s="63">
        <f t="shared" si="7"/>
        <v>52.32</v>
      </c>
    </row>
    <row r="47">
      <c r="A47" s="57" t="s">
        <v>41</v>
      </c>
      <c r="B47" s="58">
        <v>1107.0</v>
      </c>
      <c r="C47" s="59">
        <f t="shared" si="5"/>
        <v>504.2</v>
      </c>
      <c r="D47" s="58">
        <v>602.8</v>
      </c>
      <c r="F47" s="60" t="s">
        <v>41</v>
      </c>
      <c r="G47" s="67">
        <v>687.0</v>
      </c>
      <c r="H47" s="63">
        <f t="shared" si="6"/>
        <v>487.4</v>
      </c>
      <c r="I47" s="63">
        <f t="shared" si="7"/>
        <v>199.6</v>
      </c>
      <c r="M47" s="51" t="s">
        <v>51</v>
      </c>
      <c r="S47" s="51" t="s">
        <v>51</v>
      </c>
    </row>
    <row r="48">
      <c r="A48" s="57" t="s">
        <v>45</v>
      </c>
      <c r="B48" s="68">
        <v>1107.0</v>
      </c>
      <c r="C48" s="69">
        <f t="shared" si="5"/>
        <v>509</v>
      </c>
      <c r="D48" s="68">
        <v>598.0</v>
      </c>
      <c r="F48" s="60" t="s">
        <v>45</v>
      </c>
      <c r="G48" s="67">
        <v>597.0</v>
      </c>
      <c r="H48" s="71">
        <f t="shared" si="6"/>
        <v>488.6</v>
      </c>
      <c r="I48" s="71">
        <f t="shared" si="7"/>
        <v>108.4</v>
      </c>
      <c r="M48" s="78" t="s">
        <v>52</v>
      </c>
      <c r="N48" s="5" t="s">
        <v>53</v>
      </c>
      <c r="S48" s="78" t="s">
        <v>54</v>
      </c>
    </row>
    <row r="49">
      <c r="M49" s="79"/>
      <c r="N49" s="80" t="s">
        <v>55</v>
      </c>
      <c r="P49" s="80" t="s">
        <v>56</v>
      </c>
      <c r="S49" s="79"/>
      <c r="T49" s="80" t="s">
        <v>55</v>
      </c>
      <c r="U49" s="80" t="s">
        <v>56</v>
      </c>
    </row>
    <row r="50">
      <c r="A50" s="46" t="s">
        <v>57</v>
      </c>
      <c r="F50" s="74" t="s">
        <v>57</v>
      </c>
      <c r="G50" s="48" t="s">
        <v>24</v>
      </c>
      <c r="H50" s="48" t="s">
        <v>25</v>
      </c>
      <c r="I50" s="48" t="s">
        <v>26</v>
      </c>
      <c r="M50" s="79"/>
      <c r="N50" s="81" t="s">
        <v>58</v>
      </c>
      <c r="O50" s="82" t="s">
        <v>59</v>
      </c>
      <c r="P50" s="81" t="s">
        <v>58</v>
      </c>
      <c r="Q50" s="82" t="s">
        <v>59</v>
      </c>
      <c r="S50" s="79"/>
      <c r="T50" s="81" t="s">
        <v>58</v>
      </c>
      <c r="U50" s="83" t="s">
        <v>58</v>
      </c>
      <c r="W50" s="5"/>
    </row>
    <row r="51">
      <c r="A51" s="52"/>
      <c r="B51" s="53" t="s">
        <v>24</v>
      </c>
      <c r="C51" s="53" t="s">
        <v>25</v>
      </c>
      <c r="D51" s="53" t="s">
        <v>28</v>
      </c>
      <c r="F51" s="54"/>
      <c r="G51" s="55" t="s">
        <v>30</v>
      </c>
      <c r="H51" s="55" t="s">
        <v>30</v>
      </c>
      <c r="I51" s="55" t="s">
        <v>30</v>
      </c>
      <c r="M51" s="84" t="s">
        <v>23</v>
      </c>
      <c r="N51" s="85">
        <f>G68/J39</f>
        <v>2326.188525</v>
      </c>
      <c r="O51" s="86">
        <f>G68/J41</f>
        <v>1099.98062</v>
      </c>
      <c r="P51" s="85">
        <f t="shared" ref="P51:Q51" si="8">N51/30</f>
        <v>77.53961749</v>
      </c>
      <c r="Q51" s="86">
        <f t="shared" si="8"/>
        <v>36.66602067</v>
      </c>
      <c r="S51" s="84" t="s">
        <v>23</v>
      </c>
      <c r="T51" s="87">
        <f>G68/I46</f>
        <v>1084.843272</v>
      </c>
      <c r="U51" s="88">
        <f>T51/30</f>
        <v>36.16144241</v>
      </c>
      <c r="W51" s="89"/>
    </row>
    <row r="52">
      <c r="A52" s="57" t="s">
        <v>34</v>
      </c>
      <c r="B52" s="58">
        <v>1494.0</v>
      </c>
      <c r="C52" s="59">
        <f t="shared" ref="C52:C55" si="10">B52-D52</f>
        <v>899.4</v>
      </c>
      <c r="D52" s="58">
        <v>594.6</v>
      </c>
      <c r="F52" s="60" t="s">
        <v>34</v>
      </c>
      <c r="G52" s="61">
        <v>1176.0</v>
      </c>
      <c r="H52" s="63">
        <f t="shared" ref="H52:H55" si="11">(G52-B52)*0.04+C52</f>
        <v>886.68</v>
      </c>
      <c r="I52" s="63">
        <f t="shared" ref="I52:I55" si="12">G52-C52 + (B52-G52)*0.04</f>
        <v>289.32</v>
      </c>
      <c r="M52" s="84" t="s">
        <v>60</v>
      </c>
      <c r="N52" s="85">
        <f>G68/I45</f>
        <v>1169.806265</v>
      </c>
      <c r="O52" s="86">
        <f>G68/I47</f>
        <v>284.3637275</v>
      </c>
      <c r="P52" s="85">
        <f t="shared" ref="P52:Q52" si="9">N52/30</f>
        <v>38.99354218</v>
      </c>
      <c r="Q52" s="86">
        <f t="shared" si="9"/>
        <v>9.478790915</v>
      </c>
    </row>
    <row r="53">
      <c r="A53" s="57" t="s">
        <v>38</v>
      </c>
      <c r="B53" s="58">
        <v>1494.0</v>
      </c>
      <c r="C53" s="59">
        <f t="shared" si="10"/>
        <v>724</v>
      </c>
      <c r="D53" s="58">
        <v>770.0</v>
      </c>
      <c r="F53" s="60" t="s">
        <v>38</v>
      </c>
      <c r="G53" s="61">
        <v>798.0</v>
      </c>
      <c r="H53" s="63">
        <f t="shared" si="11"/>
        <v>696.16</v>
      </c>
      <c r="I53" s="63">
        <f t="shared" si="12"/>
        <v>101.84</v>
      </c>
      <c r="M53" s="84" t="s">
        <v>61</v>
      </c>
      <c r="N53" s="87">
        <f>G68/I52</f>
        <v>196.1806996</v>
      </c>
      <c r="O53" s="90">
        <f>G68/I55</f>
        <v>203.5832138</v>
      </c>
      <c r="P53" s="87">
        <f t="shared" ref="P53:Q53" si="13">N53/30</f>
        <v>6.539356652</v>
      </c>
      <c r="Q53" s="90">
        <f t="shared" si="13"/>
        <v>6.786107126</v>
      </c>
    </row>
    <row r="54">
      <c r="A54" s="57" t="s">
        <v>41</v>
      </c>
      <c r="B54" s="58">
        <v>1974.0</v>
      </c>
      <c r="C54" s="59">
        <f t="shared" si="10"/>
        <v>981.6</v>
      </c>
      <c r="D54" s="58">
        <v>992.4</v>
      </c>
      <c r="F54" s="60" t="s">
        <v>41</v>
      </c>
      <c r="G54" s="67">
        <v>1374.0</v>
      </c>
      <c r="H54" s="63">
        <f t="shared" si="11"/>
        <v>957.6</v>
      </c>
      <c r="I54" s="63">
        <f t="shared" si="12"/>
        <v>416.4</v>
      </c>
    </row>
    <row r="55">
      <c r="A55" s="57" t="s">
        <v>45</v>
      </c>
      <c r="B55" s="68">
        <v>1974.0</v>
      </c>
      <c r="C55" s="69">
        <f t="shared" si="10"/>
        <v>946.4</v>
      </c>
      <c r="D55" s="68">
        <v>1027.6</v>
      </c>
      <c r="F55" s="60" t="s">
        <v>45</v>
      </c>
      <c r="G55" s="67">
        <v>1194.0</v>
      </c>
      <c r="H55" s="71">
        <f t="shared" si="11"/>
        <v>915.2</v>
      </c>
      <c r="I55" s="71">
        <f t="shared" si="12"/>
        <v>278.8</v>
      </c>
      <c r="M55" s="78" t="s">
        <v>62</v>
      </c>
    </row>
    <row r="56">
      <c r="M56" s="79"/>
      <c r="N56" s="80" t="s">
        <v>55</v>
      </c>
      <c r="P56" s="80" t="s">
        <v>56</v>
      </c>
    </row>
    <row r="57">
      <c r="F57" s="91" t="s">
        <v>63</v>
      </c>
      <c r="M57" s="79"/>
      <c r="N57" s="81" t="s">
        <v>58</v>
      </c>
      <c r="O57" s="92" t="s">
        <v>59</v>
      </c>
      <c r="P57" s="92" t="s">
        <v>58</v>
      </c>
      <c r="Q57" s="82" t="s">
        <v>59</v>
      </c>
    </row>
    <row r="58">
      <c r="F58" s="93" t="s">
        <v>64</v>
      </c>
      <c r="G58" s="94">
        <v>4000.0</v>
      </c>
      <c r="M58" s="84" t="s">
        <v>23</v>
      </c>
      <c r="N58" s="87">
        <f>G68/K38</f>
        <v>965.2891156</v>
      </c>
      <c r="O58" s="95">
        <f>G68/K41</f>
        <v>630.6555556</v>
      </c>
      <c r="P58" s="95">
        <f t="shared" ref="P58:Q58" si="14">N58/30</f>
        <v>32.17630385</v>
      </c>
      <c r="Q58" s="90">
        <f t="shared" si="14"/>
        <v>21.02185185</v>
      </c>
    </row>
    <row r="59">
      <c r="F59" s="93" t="s">
        <v>65</v>
      </c>
      <c r="G59" s="61">
        <v>1500.0</v>
      </c>
      <c r="M59" s="15"/>
    </row>
    <row r="60">
      <c r="F60" s="93" t="s">
        <v>66</v>
      </c>
      <c r="G60" s="61">
        <v>27900.0</v>
      </c>
      <c r="M60" s="51" t="s">
        <v>67</v>
      </c>
    </row>
    <row r="61">
      <c r="F61" s="93" t="s">
        <v>68</v>
      </c>
      <c r="G61" s="61">
        <v>1000.0</v>
      </c>
      <c r="M61" s="96" t="s">
        <v>69</v>
      </c>
      <c r="V61" s="97"/>
      <c r="W61" s="98"/>
      <c r="X61" s="99"/>
      <c r="Y61" s="100"/>
      <c r="Z61" s="29"/>
    </row>
    <row r="62">
      <c r="F62" s="93" t="s">
        <v>70</v>
      </c>
      <c r="G62" s="61">
        <v>50.0</v>
      </c>
      <c r="M62" s="101" t="s">
        <v>44</v>
      </c>
      <c r="N62" s="102">
        <f>G74</f>
        <v>12</v>
      </c>
      <c r="O62" s="101" t="s">
        <v>44</v>
      </c>
      <c r="P62" s="103">
        <f>G75</f>
        <v>0.5714285714</v>
      </c>
      <c r="V62" s="104"/>
      <c r="W62" s="105"/>
      <c r="X62" s="106"/>
      <c r="Y62" s="107"/>
      <c r="Z62" s="29"/>
    </row>
    <row r="63">
      <c r="F63" s="93" t="s">
        <v>71</v>
      </c>
      <c r="G63" s="61">
        <v>18000.0</v>
      </c>
      <c r="M63" s="108" t="s">
        <v>72</v>
      </c>
      <c r="N63" s="109">
        <f>H74</f>
        <v>9</v>
      </c>
      <c r="O63" s="108" t="s">
        <v>43</v>
      </c>
      <c r="P63" s="110">
        <f>H75</f>
        <v>0.4285714286</v>
      </c>
      <c r="V63" s="104"/>
      <c r="W63" s="105"/>
      <c r="X63" s="106"/>
      <c r="Y63" s="107"/>
      <c r="Z63" s="29"/>
    </row>
    <row r="64">
      <c r="F64" s="93" t="s">
        <v>73</v>
      </c>
      <c r="G64" s="61">
        <v>1500.0</v>
      </c>
      <c r="M64" s="108" t="s">
        <v>74</v>
      </c>
      <c r="N64" s="111">
        <f>G79</f>
        <v>15</v>
      </c>
      <c r="O64" s="108" t="s">
        <v>36</v>
      </c>
      <c r="P64" s="112">
        <f>G80</f>
        <v>0.7142857143</v>
      </c>
      <c r="V64" s="98"/>
      <c r="W64" s="97"/>
      <c r="X64" s="99"/>
      <c r="Y64" s="100"/>
      <c r="Z64" s="29"/>
    </row>
    <row r="65">
      <c r="F65" s="113" t="s">
        <v>75</v>
      </c>
      <c r="G65" s="61">
        <v>800.0</v>
      </c>
      <c r="M65" s="108" t="s">
        <v>76</v>
      </c>
      <c r="N65" s="109">
        <f>H79</f>
        <v>6</v>
      </c>
      <c r="O65" s="108" t="s">
        <v>77</v>
      </c>
      <c r="P65" s="110">
        <f>H80</f>
        <v>0.2857142857</v>
      </c>
      <c r="V65" s="97"/>
      <c r="W65" s="97"/>
      <c r="X65" s="114"/>
      <c r="Y65" s="100"/>
      <c r="Z65" s="29"/>
    </row>
    <row r="66">
      <c r="F66" s="93" t="s">
        <v>78</v>
      </c>
      <c r="G66" s="61">
        <v>1110.0</v>
      </c>
      <c r="M66" s="108" t="s">
        <v>79</v>
      </c>
      <c r="N66" s="109">
        <f>G84</f>
        <v>16</v>
      </c>
      <c r="O66" s="108" t="s">
        <v>79</v>
      </c>
      <c r="P66" s="110">
        <f>G85</f>
        <v>0.8888888889</v>
      </c>
      <c r="V66" s="97"/>
      <c r="W66" s="97"/>
      <c r="X66" s="114"/>
      <c r="Y66" s="100"/>
      <c r="Z66" s="29"/>
    </row>
    <row r="67">
      <c r="F67" s="93" t="s">
        <v>80</v>
      </c>
      <c r="G67" s="61">
        <v>899.0</v>
      </c>
      <c r="M67" s="108" t="s">
        <v>60</v>
      </c>
      <c r="N67" s="109">
        <f>H84</f>
        <v>2</v>
      </c>
      <c r="O67" s="108" t="s">
        <v>60</v>
      </c>
      <c r="P67" s="110">
        <f>H85</f>
        <v>0.1111111111</v>
      </c>
      <c r="X67" s="31"/>
      <c r="Y67" s="29"/>
      <c r="Z67" s="29"/>
    </row>
    <row r="68">
      <c r="F68" s="93" t="s">
        <v>81</v>
      </c>
      <c r="G68" s="115">
        <f>SUM(G58:G67)</f>
        <v>56759</v>
      </c>
      <c r="M68" s="116" t="s">
        <v>61</v>
      </c>
      <c r="N68" s="117">
        <f>I84</f>
        <v>0</v>
      </c>
      <c r="O68" s="116" t="s">
        <v>61</v>
      </c>
      <c r="P68" s="118">
        <f>I85</f>
        <v>0</v>
      </c>
      <c r="X68" s="31"/>
      <c r="Y68" s="29"/>
      <c r="Z68" s="29"/>
    </row>
    <row r="69">
      <c r="M69" s="119" t="s">
        <v>82</v>
      </c>
      <c r="N69" s="120">
        <f>I74</f>
        <v>21</v>
      </c>
      <c r="V69" s="121"/>
      <c r="W69" s="121"/>
      <c r="X69" s="31"/>
      <c r="Y69" s="29"/>
      <c r="Z69" s="29"/>
    </row>
    <row r="70">
      <c r="V70" s="121"/>
      <c r="Y70" s="29"/>
      <c r="Z70" s="29"/>
    </row>
    <row r="71">
      <c r="F71" s="122" t="s">
        <v>83</v>
      </c>
      <c r="M71" s="96" t="s">
        <v>84</v>
      </c>
      <c r="V71" s="121"/>
      <c r="X71" s="31"/>
      <c r="Y71" s="29"/>
      <c r="Z71" s="29"/>
    </row>
    <row r="72">
      <c r="F72" s="123" t="s">
        <v>85</v>
      </c>
      <c r="G72" s="2"/>
      <c r="H72" s="2"/>
      <c r="I72" s="2"/>
      <c r="J72" s="3"/>
      <c r="M72" s="124" t="s">
        <v>86</v>
      </c>
      <c r="N72" s="125">
        <f>P62*P66*P64</f>
        <v>0.3628117914</v>
      </c>
      <c r="O72" s="124" t="s">
        <v>87</v>
      </c>
      <c r="P72" s="126">
        <f>P63*P64*P66</f>
        <v>0.2721088435</v>
      </c>
      <c r="X72" s="31"/>
      <c r="Y72" s="29"/>
      <c r="Z72" s="29"/>
    </row>
    <row r="73">
      <c r="F73" s="127"/>
      <c r="G73" s="128" t="s">
        <v>44</v>
      </c>
      <c r="H73" s="128" t="s">
        <v>43</v>
      </c>
      <c r="I73" s="128" t="s">
        <v>81</v>
      </c>
      <c r="J73" s="129"/>
      <c r="M73" s="130" t="s">
        <v>88</v>
      </c>
      <c r="N73" s="131">
        <f>P62*P67*P64</f>
        <v>0.04535147392</v>
      </c>
      <c r="O73" s="130" t="s">
        <v>89</v>
      </c>
      <c r="P73" s="131">
        <f>P63*P67*P64</f>
        <v>0.03401360544</v>
      </c>
    </row>
    <row r="74">
      <c r="F74" s="132" t="s">
        <v>90</v>
      </c>
      <c r="G74" s="133">
        <v>12.0</v>
      </c>
      <c r="H74" s="134">
        <v>9.0</v>
      </c>
      <c r="I74" s="135">
        <f>SUM(G74:H74)</f>
        <v>21</v>
      </c>
      <c r="J74" s="129"/>
      <c r="M74" s="130" t="s">
        <v>91</v>
      </c>
      <c r="N74" s="131">
        <f>P62*P68*P64</f>
        <v>0</v>
      </c>
      <c r="O74" s="130" t="s">
        <v>92</v>
      </c>
      <c r="P74" s="131">
        <f>P63*P68*P64</f>
        <v>0</v>
      </c>
    </row>
    <row r="75">
      <c r="F75" s="132" t="s">
        <v>93</v>
      </c>
      <c r="G75" s="136">
        <f>G74/I74</f>
        <v>0.5714285714</v>
      </c>
      <c r="H75" s="136">
        <f>H74/I74</f>
        <v>0.4285714286</v>
      </c>
      <c r="I75" s="137"/>
      <c r="J75" s="129"/>
      <c r="M75" s="130" t="s">
        <v>94</v>
      </c>
      <c r="N75" s="131">
        <f>P62*P66*P65</f>
        <v>0.1451247166</v>
      </c>
      <c r="O75" s="130" t="s">
        <v>95</v>
      </c>
      <c r="P75" s="131">
        <f>P63*P66*P65</f>
        <v>0.1088435374</v>
      </c>
    </row>
    <row r="76">
      <c r="F76" s="138"/>
      <c r="G76" s="105"/>
      <c r="H76" s="105"/>
      <c r="I76" s="105"/>
      <c r="J76" s="129"/>
      <c r="M76" s="130" t="s">
        <v>96</v>
      </c>
      <c r="N76" s="131">
        <f>P62*P67*P65</f>
        <v>0.01814058957</v>
      </c>
      <c r="O76" s="130" t="s">
        <v>97</v>
      </c>
      <c r="P76" s="131">
        <f>P63*P67*P65</f>
        <v>0.01360544218</v>
      </c>
    </row>
    <row r="77">
      <c r="F77" s="138"/>
      <c r="G77" s="105"/>
      <c r="H77" s="105"/>
      <c r="I77" s="105"/>
      <c r="J77" s="129"/>
      <c r="M77" s="119" t="s">
        <v>98</v>
      </c>
      <c r="N77" s="118">
        <f>P62*P68*P65</f>
        <v>0</v>
      </c>
      <c r="O77" s="119" t="s">
        <v>99</v>
      </c>
      <c r="P77" s="118">
        <f>P63*P68*P65</f>
        <v>0</v>
      </c>
    </row>
    <row r="78">
      <c r="F78" s="127"/>
      <c r="G78" s="128" t="s">
        <v>36</v>
      </c>
      <c r="H78" s="128" t="s">
        <v>77</v>
      </c>
      <c r="I78" s="128" t="s">
        <v>81</v>
      </c>
      <c r="J78" s="129"/>
    </row>
    <row r="79">
      <c r="F79" s="132" t="s">
        <v>90</v>
      </c>
      <c r="G79" s="139">
        <v>15.0</v>
      </c>
      <c r="H79" s="134">
        <v>6.0</v>
      </c>
      <c r="I79" s="135">
        <f>SUM(G79:H79)</f>
        <v>21</v>
      </c>
      <c r="J79" s="129"/>
      <c r="M79" s="96" t="s">
        <v>67</v>
      </c>
    </row>
    <row r="80">
      <c r="F80" s="132" t="s">
        <v>93</v>
      </c>
      <c r="G80" s="140">
        <f>G79/I79</f>
        <v>0.7142857143</v>
      </c>
      <c r="H80" s="140">
        <f>H79/I79</f>
        <v>0.2857142857</v>
      </c>
      <c r="I80" s="137"/>
      <c r="J80" s="129"/>
      <c r="M80" s="141"/>
      <c r="N80" s="124" t="s">
        <v>100</v>
      </c>
      <c r="O80" s="124" t="s">
        <v>101</v>
      </c>
      <c r="P80" s="5"/>
    </row>
    <row r="81">
      <c r="F81" s="138"/>
      <c r="G81" s="105"/>
      <c r="H81" s="105"/>
      <c r="I81" s="105"/>
      <c r="J81" s="129"/>
      <c r="M81" s="142" t="s">
        <v>29</v>
      </c>
      <c r="N81" s="143">
        <f>G68/(N72*J39+N73*I46*N74*I53+N75*J38+N76*I45+N77*I52+P72*J41+P73*I48+P74*I55+P75*J40+P76*I47+P77*I54)</f>
        <v>1711.74092</v>
      </c>
      <c r="O81" s="143">
        <f t="shared" ref="O81:O82" si="15">N81/30</f>
        <v>57.05803066</v>
      </c>
    </row>
    <row r="82">
      <c r="F82" s="138"/>
      <c r="G82" s="105"/>
      <c r="H82" s="105"/>
      <c r="I82" s="105"/>
      <c r="J82" s="129"/>
      <c r="M82" s="142" t="s">
        <v>62</v>
      </c>
      <c r="N82" s="144">
        <f>G68/(N72*K39+N73*I46*N74*I53+N75*K38+N76*I45+N77*I52+P72*K41+P73*I48+P74*I55+P75*K40+P76*I47+P77*I54)</f>
        <v>760.780679</v>
      </c>
      <c r="O82" s="144">
        <f t="shared" si="15"/>
        <v>25.35935597</v>
      </c>
    </row>
    <row r="83">
      <c r="F83" s="127"/>
      <c r="G83" s="145" t="s">
        <v>102</v>
      </c>
      <c r="H83" s="128" t="s">
        <v>48</v>
      </c>
      <c r="I83" s="128" t="s">
        <v>57</v>
      </c>
      <c r="J83" s="146" t="s">
        <v>81</v>
      </c>
    </row>
    <row r="84">
      <c r="F84" s="132" t="s">
        <v>103</v>
      </c>
      <c r="G84" s="139">
        <v>16.0</v>
      </c>
      <c r="H84" s="147">
        <v>2.0</v>
      </c>
      <c r="I84" s="148">
        <v>0.0</v>
      </c>
      <c r="J84" s="149">
        <f>SUM(G84:I84)</f>
        <v>18</v>
      </c>
    </row>
    <row r="85">
      <c r="F85" s="150" t="s">
        <v>93</v>
      </c>
      <c r="G85" s="151">
        <f t="shared" ref="G85:I85" si="16">G84/$J$84</f>
        <v>0.8888888889</v>
      </c>
      <c r="H85" s="151">
        <f t="shared" si="16"/>
        <v>0.1111111111</v>
      </c>
      <c r="I85" s="151">
        <f t="shared" si="16"/>
        <v>0</v>
      </c>
      <c r="J85" s="152"/>
    </row>
  </sheetData>
  <mergeCells count="7">
    <mergeCell ref="B4:C4"/>
    <mergeCell ref="R18:S18"/>
    <mergeCell ref="U18:V18"/>
    <mergeCell ref="X18:Y18"/>
    <mergeCell ref="X23:Y23"/>
    <mergeCell ref="X28:Y28"/>
    <mergeCell ref="J36:K36"/>
  </mergeCells>
  <dataValidations>
    <dataValidation type="list" allowBlank="1" showErrorMessage="1" sqref="N40 Q40">
      <formula1>"Semaglutide,Tirzepatide"</formula1>
    </dataValidation>
    <dataValidation type="list" allowBlank="1" showErrorMessage="1" sqref="N39 Q39">
      <formula1>"1,3,6"</formula1>
    </dataValidation>
    <dataValidation type="list" allowBlank="1" showErrorMessage="1" sqref="N38 Q38">
      <formula1>"Oral,Injection"</formula1>
    </dataValidation>
  </dataValidations>
  <drawing r:id="rId1"/>
</worksheet>
</file>